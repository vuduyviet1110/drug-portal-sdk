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343" documentId="11_49D32CE7A51E7868593C4AECBB5D110767D9A2C0" xr6:coauthVersionLast="47" xr6:coauthVersionMax="47" xr10:uidLastSave="{EC6EFF35-CCF5-4C00-93C0-4012096996BD}"/>
  <bookViews>
    <workbookView xWindow="0" yWindow="0" windowWidth="0" windowHeight="0" firstSheet="3" xr2:uid="{00000000-000D-0000-FFFF-FFFF00000000}"/>
  </bookViews>
  <sheets>
    <sheet name="1. Overview" sheetId="1" r:id="rId1"/>
    <sheet name="2. Business_flow" sheetId="6" r:id="rId2"/>
    <sheet name="6. Test case" sheetId="5" state="hidden" r:id="rId3"/>
    <sheet name="3. Estimat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tc={1213C831-5B97-4969-8405-EC5E9BE9B442}</author>
    <author>tc={932F8B81-8FC8-45F3-920F-54EBB1F9ACA6}</author>
  </authors>
  <commentList>
    <comment ref="A5" authorId="0" shapeId="0" xr:uid="{1213C831-5B97-4969-8405-EC5E9BE9B442}">
      <text>
        <t>[Threaded comment]
Your version of Excel allows you to read this threaded comment; however, any edits to it will get removed if the file is opened in a newer version of Excel. Learn more: https://go.microsoft.com/fwlink/?linkid=870924
Comment:
    làm gì còn iCare ở đây nữa, chỗ này có 02 actor là nhà thuốc và thầy thuốc chứ @Duong Phi</t>
      </text>
    </comment>
    <comment ref="C7" authorId="1" shapeId="0" xr:uid="{932F8B81-8FC8-45F3-920F-54EBB1F9ACA6}">
      <text>
        <t>[Threaded comment]
Your version of Excel allows you to read this threaded comment; however, any edits to it will get removed if the file is opened in a newer version of Excel. Learn more: https://go.microsoft.com/fwlink/?linkid=870924
Comment:
    vẽ lại business flow diagram vào đây rồi insert link drawio vào đây nhé @Dung Nguyen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tc={F75E2D11-051F-459E-A14D-3B521487D26A}</author>
    <author>tc={737E6E36-788E-4004-BFD9-425BFE5D0AD0}</author>
    <author>tc={2C8E470D-E6B4-4ABC-A72E-BD0C17794E9B}</author>
  </authors>
  <commentList>
    <comment ref="B3" authorId="0" shapeId="0" xr:uid="{F75E2D11-051F-459E-A14D-3B521487D26A}">
      <text>
        <t>[Threaded comment]
Your version of Excel allows you to read this threaded comment; however, any edits to it will get removed if the file is opened in a newer version of Excel. Learn more: https://go.microsoft.com/fwlink/?linkid=870924
Comment:
    BA ở đây cụ thể là làm cái gì? vì scope shorten lại như của iCare thôi. sao phải research lại là không lesson learnt được @Duong Phi
Reply:
    phần này mình ko cần BA lên doc lại nếu làm general ạ, vì doc đang theo của iCare ạ</t>
      </text>
    </comment>
    <comment ref="B15" authorId="1" shapeId="0" xr:uid="{737E6E36-788E-4004-BFD9-425BFE5D0A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tất cả các phần list ở cột C nó là techspec nhưng nó xử lý cho business usecases nào thì @Duong Phi mapping lại với sơ đồ tổng quản business flow </t>
      </text>
    </comment>
    <comment ref="A16" authorId="2" shapeId="0" xr:uid="{2C8E470D-E6B4-4ABC-A72E-BD0C17794E9B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chỗ này là dev test hay QC test? hay chia layer QC chạy lại test cho luồng E2E thôi? @Duong Phi</t>
      </text>
    </comment>
  </commentList>
</comments>
</file>

<file path=xl/sharedStrings.xml><?xml version="1.0" encoding="utf-8"?>
<sst xmlns="http://schemas.openxmlformats.org/spreadsheetml/2006/main" count="295" uniqueCount="259">
  <si>
    <t>Drug Portal SDK — Đề xuất dự án</t>
  </si>
  <si>
    <t>npm · TypeScript · Node.js ≥ 18  ·  QĐ 522 · QĐ 228  · Open Source</t>
  </si>
  <si>
    <t>Tổng quan</t>
  </si>
  <si>
    <r>
      <rPr>
        <b/>
        <sz val="11"/>
        <color rgb="FF000000"/>
        <rFont val="Times New Roman"/>
      </rPr>
      <t xml:space="preserve">Project summary: </t>
    </r>
    <r>
      <rPr>
        <sz val="11"/>
        <color rgb="FF000000"/>
        <rFont val="Times New Roman"/>
      </rPr>
      <t>Dự án đề xuất xây dựng</t>
    </r>
    <r>
      <rPr>
        <sz val="11"/>
        <color rgb="FFFF0000"/>
        <rFont val="Times New Roman"/>
      </rPr>
      <t xml:space="preserve"> </t>
    </r>
    <r>
      <rPr>
        <b/>
        <sz val="11"/>
        <color rgb="FFFF0000"/>
        <rFont val="Times New Roman"/>
      </rPr>
      <t>Drug Portal SDK</t>
    </r>
    <r>
      <rPr>
        <sz val="11"/>
        <color rgb="FFFF0000"/>
        <rFont val="Times New Roman"/>
      </rPr>
      <t xml:space="preserve"> </t>
    </r>
    <r>
      <rPr>
        <sz val="11"/>
        <color rgb="FF000000"/>
        <rFont val="Times New Roman"/>
      </rPr>
      <t xml:space="preserve">— một gói npm mã nguồn mở đóng gói toàn bộ logic kết nối tới các cổng của Cổng Dược Quốc Gia (CSDL Dược QĐ 522, Cổng Đơn Thuốc QĐ 228) 
</t>
    </r>
    <r>
      <rPr>
        <b/>
        <sz val="11"/>
        <color rgb="FF000000"/>
        <rFont val="Times New Roman"/>
      </rPr>
      <t>Business goal:</t>
    </r>
    <r>
      <rPr>
        <sz val="11"/>
        <color rgb="FF000000"/>
        <rFont val="Times New Roman"/>
      </rPr>
      <t xml:space="preserve"> giảm tải việc tích hợp với cổng thuốc với các hệ thống có nghiệp vụ liên quan đến dược — thay vì tự viết lớp kết nối, người sử dụng chỉ cần `npm i drug-portal-sdk` và cung cấp bộ cấu hình credential.</t>
    </r>
  </si>
  <si>
    <t xml:space="preserve">Business flow </t>
  </si>
  <si>
    <t xml:space="preserve">Link </t>
  </si>
  <si>
    <t>https://drive.google.com/file/d/1evEy7PHZVnBKKeUbx6Q7e-NssdPsTwUw/view?usp=sharing</t>
  </si>
  <si>
    <t>UC1</t>
  </si>
  <si>
    <t>Khởi tạo &amp; cấu hình SDK</t>
  </si>
  <si>
    <t>UC2</t>
  </si>
  <si>
    <t>Xác thực &amp; tự động làm mới token CSDL Dược</t>
  </si>
  <si>
    <t>UC3</t>
  </si>
  <si>
    <t>Tìm kiếm sản phẩm thuốc trên trang quản lý Dược quốc gia</t>
  </si>
  <si>
    <t>UC4</t>
  </si>
  <si>
    <t xml:space="preserve">Tạo sản phẩm thuốc </t>
  </si>
  <si>
    <t>UC5</t>
  </si>
  <si>
    <t>Đồng bộ phiếu nhập kho</t>
  </si>
  <si>
    <t>UC6</t>
  </si>
  <si>
    <t>Đồng bộ phiếu xuất kho</t>
  </si>
  <si>
    <t>UC7</t>
  </si>
  <si>
    <t>Đồng bộ phiếu kiểm kho</t>
  </si>
  <si>
    <t>Công nghệ sử dụng</t>
  </si>
  <si>
    <t>Ngôn ngữ</t>
  </si>
  <si>
    <t>TypeScript 5.x</t>
  </si>
  <si>
    <t>Runtime</t>
  </si>
  <si>
    <t>Node.js ≥ 18 (khai báo engines trong package.json)</t>
  </si>
  <si>
    <t>Distribution</t>
  </si>
  <si>
    <t>npm public registry — `npm i drug-portal-sdk`</t>
  </si>
  <si>
    <t>HTTP client</t>
  </si>
  <si>
    <t>undici / native fetch (Node 18+) hoặc axios</t>
  </si>
  <si>
    <t>Build</t>
  </si>
  <si>
    <t>tsc + tsup (build ESM + CJS) + d.ts types</t>
  </si>
  <si>
    <t>Test</t>
  </si>
  <si>
    <t>Vitest / Jest + mock HTTP (msw hoặc nock) + integration test Sandbox</t>
  </si>
  <si>
    <t>CI/CD</t>
  </si>
  <si>
    <t>GitHub Actions (lint, test, build, publish npm)</t>
  </si>
  <si>
    <t>Versioning</t>
  </si>
  <si>
    <t>Semantic Versioning (semver) + CHANGELOG</t>
  </si>
  <si>
    <t>Repo</t>
  </si>
  <si>
    <t>GitHub public + GitHub Issues/PR</t>
  </si>
  <si>
    <t>Logging</t>
  </si>
  <si>
    <t>Structured logger + trace/correlation ID tự sinh mỗi request</t>
  </si>
  <si>
    <t>Tham chiếu</t>
  </si>
  <si>
    <t>Code Python/Odoo module san_pharmacy_sync (payload, validation, mapper, retry)</t>
  </si>
  <si>
    <t>Tech specification apply for each usecases</t>
  </si>
  <si>
    <t>CSDL Dược · Auth</t>
  </si>
  <si>
    <t>Login OAuth (username + base64 password, x-www-form-urlencoded) → access token TTL ~23h → SDK tự refresh khi sắp hết hạn hoặc gặp 401.</t>
  </si>
  <si>
    <t>CSDL Dược · Danh mục</t>
  </si>
  <si>
    <t>Tra cứu thuốc: POS portal /api/pos/product/get-paged + master /master/drugs.</t>
  </si>
  <si>
    <t>CSDL Dược · Tồn kho</t>
  </si>
  <si>
    <t>Nhập/xuất kho: build payload (lot/batch/expiry/manufacturer/reason mapper) → POST /transactions/stock-in,stock-out → polling trạng thái {completed,rejected,error}.</t>
  </si>
  <si>
    <t>Cổng Đơn Thuốc · QĐ 228</t>
  </si>
  <si>
    <t>Header tĩnh app-name/app-key (không refresh, mask log). Tra cứu đơn GET /thong-tin-don-thuoc + cập nhật số bán POST /cap-nhat-don-thuoc (UC05) + retry riêng.</t>
  </si>
  <si>
    <t>Nền tảng SDK</t>
  </si>
  <si>
    <t>Retry/backoff 429/5xx/timeout, structured logging + trace ID, sandbox/prod switch, TypeScript types.</t>
  </si>
  <si>
    <t>Ngoài scope (xem xét sau)</t>
  </si>
  <si>
    <t>Kiểm kê &amp; báo cáo tồn CSDL Dược; NPS QĐ 808 (auth 2 cấp, kê đơn); CLI/mock server; adapter Python/Java/.NET.</t>
  </si>
  <si>
    <t>Constraints</t>
  </si>
  <si>
    <t>1. 01 lập trình viên tập trung trong 04 tuần, dùng code Python làm chuẩn tham chiếu khi viết lại.
2. Rà soát điều khoản cổng trước khi công khai repo — nếu cấm wrapper ngoài → phát hành nội bộ (vẫn đạt mục tiêu decouple iCare).
3. ≥ 02 maintainer + cam kết cập nhật khi cổng đổi API + chính sách semver/deprecation rõ ràng.</t>
  </si>
  <si>
    <t>Applied AI trong quá trình phát triển</t>
  </si>
  <si>
    <t>Đội iCare hiện mạnh Python/Odoo, TypeScript/Node.js không phải thế mạnh cốt lõi. Apply AI (Cursor / Claude Code) cho phép 1 dev Python viết được SDK TypeScript trong 1 tháng — AI lo phần code TypeScript, dev lo phần logic nghiệp vụ dược (đã proven trong san_pharmacy_sync). Cụ thể AI được apply ở:</t>
  </si>
  <si>
    <t>1. Scaffold &amp; boilerplate</t>
  </si>
  <si>
    <t>AI sinh package.json, tsconfig, tsup, GitHub Actions YAML, semver config — dev chỉ review, gần như 0 công sức tay.</t>
  </si>
  <si>
    <t>2. Port code Python → TypeScript</t>
  </si>
  <si>
    <t>AI dịch helper layer (payload builder, mapper, validation, retry) từ san_pharmacy_sync sang TS. Đây là LỢI THẾ chính: dev mạnh Python, TS không phải thế mạnh → AI viết TS dựa trên Python làm context, dev kiểm tra đúng logic. Giúp rút ngắn đáng kể effort port.</t>
  </si>
  <si>
    <t>3. HTTP client / auth / retry</t>
  </si>
  <si>
    <t>AI viết pattern phổ biến (OAuth refresh, backoff 429/5xx, trace ID) — AI code tốt phần kỹ thuật generic.</t>
  </si>
  <si>
    <t>4. Test case</t>
  </si>
  <si>
    <t>AI sinh skeleton test (Vitest + msw mock) từ signature hàm + mock response; AI gợi ý edge case.</t>
  </si>
  <si>
    <t>5. Documentation &amp; types</t>
  </si>
  <si>
    <t>AI viết README, ví dụ, JSDoc, sinh TypeScript types — AI rất mạnh documentation.</t>
  </si>
  <si>
    <t>6. Debug port sai</t>
  </si>
  <si>
    <t>AI giải thích khác biệt Python/TS, gợi ý fix khi dịch sai edge case (base64, x-www-form-urlencoded, strip /v2, polling state).</t>
  </si>
  <si>
    <t>7. Adapter đa ngôn ngữ (Phase 3)</t>
  </si>
  <si>
    <t>Tương tự: apply AI để sinh adapter Python/Java/.NET từ core TS — 1 team TS mở rộng sang ngôn ngữ khác mà không cần tuyển chuyên gia từng ngôn ngữ.</t>
  </si>
  <si>
    <t>STT</t>
  </si>
  <si>
    <t>Mã UC</t>
  </si>
  <si>
    <t>Tên UC</t>
  </si>
  <si>
    <t>Nhóm</t>
  </si>
  <si>
    <t>Actor</t>
  </si>
  <si>
    <t>API / Endpoint chính</t>
  </si>
  <si>
    <t>UC-SDK-01</t>
  </si>
  <si>
    <t>Khởi tạo &amp; cấu hình SDK Client</t>
  </si>
  <si>
    <t>Dev tích hợp</t>
  </si>
  <si>
    <t>Không gọi API cổng — chuẩn bị cấu hình nội bộ (credentials 2 cổng, environment)</t>
  </si>
  <si>
    <t>UC-SDK-02</t>
  </si>
  <si>
    <t>Xác thực</t>
  </si>
  <si>
    <t>Hệ thống (SDK)</t>
  </si>
  <si>
    <t>POST /auth/login</t>
  </si>
  <si>
    <t>Toàn bộ UC tham chiếu đến tài liệu QĐ522 BYT - Tài liệu tích hợp nhà thuốc với cổng dược quốc gia</t>
  </si>
  <si>
    <t>UC-SDK-03</t>
  </si>
  <si>
    <t>Tra cứu danh mục dùng chung (Master Data)</t>
  </si>
  <si>
    <t>Danh mục sản phẩm</t>
  </si>
  <si>
    <t>GET /master/active-ingredients, /units, /countries, /drug-groups, /routes, /manufactures, /provinces, /communes</t>
  </si>
  <si>
    <t>UC-SDK-04</t>
  </si>
  <si>
    <t>Tra cứu danh mục thuốc quốc gia</t>
  </si>
  <si>
    <t>GET /master/drugs; GET /master/drugs/{drug_id}</t>
  </si>
  <si>
    <t>UC-SDK-05</t>
  </si>
  <si>
    <t>Đồng bộ phiếu nhập kho lên Cổng Dược</t>
  </si>
  <si>
    <t>Hoạt động tồn kho</t>
  </si>
  <si>
    <t>Dev tích hợp / Hệ thống</t>
  </si>
  <si>
    <t>POST /transactions/stock-in; GET .../{id}; GET .../{id}/status</t>
  </si>
  <si>
    <t>UC-SDK-06</t>
  </si>
  <si>
    <t>Đồng bộ phiếu xuất kho lên Cổng Dược</t>
  </si>
  <si>
    <t>POST /transactions/stock-out; GET .../{id}; GET .../{id}/status</t>
  </si>
  <si>
    <t>UC-SDK-07</t>
  </si>
  <si>
    <t>Đồng bộ phiếu kiểm kho lên Cổng Dược</t>
  </si>
  <si>
    <t>POST /transactions/stock-taking; GET .../{id}; GET .../{id}/status</t>
  </si>
  <si>
    <t>Test Scenario
Kịch bản kiểm thử</t>
  </si>
  <si>
    <t>Mục tiêu</t>
  </si>
  <si>
    <t>Test Case ID</t>
  </si>
  <si>
    <t>Pre-condition
Điều kiện</t>
  </si>
  <si>
    <t>Test Script
Quy trình</t>
  </si>
  <si>
    <t>Expected Output
Kết quả mong đợi</t>
  </si>
  <si>
    <t>1st Result
Zen8labs</t>
  </si>
  <si>
    <t>Vinmec</t>
  </si>
  <si>
    <t>Note</t>
  </si>
  <si>
    <t>Auth CSDL Dược</t>
  </si>
  <si>
    <t>Login sandbox thành công, nhận access token</t>
  </si>
  <si>
    <t>TC-AUTH-01</t>
  </si>
  <si>
    <t>- Credential CSDL Dược sandbox hợp lệ
- environment=sandbox</t>
  </si>
  <si>
    <t>1. new DrugPortalClient({csdlDuoc:{username,password,...}})
2. Gọi client.drugs.search('test') (trigger login)</t>
  </si>
  <si>
    <t>- HTTP 200 /auth/login, trả access_token
- Token lưu cache, expires_at = now+23h
- Search trả kết quả</t>
  </si>
  <si>
    <t>Untest</t>
  </si>
  <si>
    <t>Login x-www-form-urlencoded, password base64</t>
  </si>
  <si>
    <t>Token hết hạn → SDK tự refresh khi gặp 401</t>
  </si>
  <si>
    <t>TC-AUTH-02</t>
  </si>
  <si>
    <t>- TC-AUTH-01 đã login
- Token bị expire thủ công</t>
  </si>
  <si>
    <t>1. Force token expires_at = past
2. Gọi API → nhận 401
3. Kiểm tra SDK re-login + retry</t>
  </si>
  <si>
    <t>- SDK clear token, re-login, retry thành công
- Request gốc trả kết quả, dev không cần can thiệp</t>
  </si>
  <si>
    <t>Auto-refresh ẩn bên trong</t>
  </si>
  <si>
    <t>Auth QĐ 228</t>
  </si>
  <si>
    <t>Header tĩnh app-name/app-key gửi đúng, mask log</t>
  </si>
  <si>
    <t>TC-AUTH-03</t>
  </si>
  <si>
    <t>- Credential QĐ 228 (appName, appKey)</t>
  </si>
  <si>
    <t>1. Gọi client.orders.get('DH001')
2. Kiểm tra header request + log</t>
  </si>
  <si>
    <t>- Header có app-name, app-key
- Log mask app-key = ***</t>
  </si>
  <si>
    <t>QĐ 228 không refresh</t>
  </si>
  <si>
    <t>Tra cứu thuốc</t>
  </si>
  <si>
    <t>search trả danh mục thuốc</t>
  </si>
  <si>
    <t>TC-DRUG-01</t>
  </si>
  <si>
    <t>- TC-AUTH-01 OK</t>
  </si>
  <si>
    <t>1. client.drugs.search('paracetamol')
2. Kiểm tra kết quả</t>
  </si>
  <si>
    <t>- Trả danh sách thuốc + đơn vị/quy đổi
- Ưu tiên POS portal, fallback master</t>
  </si>
  <si>
    <t>CSDL Dược</t>
  </si>
  <si>
    <t>Nhập kho</t>
  </si>
  <si>
    <t>importBatch stock-in → transaction_id + polling completed</t>
  </si>
  <si>
    <t>TC-STOCK-01</t>
  </si>
  <si>
    <t>- TC-AUTH-01 OK
- items có drug_id, lot, expiry, unit</t>
  </si>
  <si>
    <t>1. client.inventory.importBatch({items})
2. Polling trạng thái transaction</t>
  </si>
  <si>
    <t>- POST /transactions/stock-in trả transaction_id
- Polling đến status=completed</t>
  </si>
  <si>
    <t>Payload lot/batch/expiry/manufacturer</t>
  </si>
  <si>
    <t>Xuất kho</t>
  </si>
  <si>
    <t>export stock-out với reason mapper</t>
  </si>
  <si>
    <t>TC-STOCK-02</t>
  </si>
  <si>
    <t>- TC-STOCK-01 OK</t>
  </si>
  <si>
    <t>1. client.inventory.export({items, reason})
2. Kiểm tra payload reason mapping</t>
  </si>
  <si>
    <t>- reason map đúng (supplier/transfer/return)
- Polling completed</t>
  </si>
  <si>
    <t>QĐ 228 — Tra cứu đơn</t>
  </si>
  <si>
    <t>orders.get trả thông tin đơn thuốc</t>
  </si>
  <si>
    <t>TC-RX-01</t>
  </si>
  <si>
    <t>- TC-AUTH-03 OK
- ma_don_thuoc tồn tại</t>
  </si>
  <si>
    <t>1. client.orders.get('DH001')
2. Kiểm tra response</t>
  </si>
  <si>
    <t>- GET /thong-tin-don-thuoc/DH001 trả đơn
- Mapper sang sale order/invoice</t>
  </si>
  <si>
    <t>Cổng Đơn Thuốc</t>
  </si>
  <si>
    <t>QĐ 228 — Confirm sold</t>
  </si>
  <si>
    <t>confirmSold cập nhật số bán (UC05)</t>
  </si>
  <si>
    <t>TC-RX-02</t>
  </si>
  <si>
    <t>- TC-RX-01 OK</t>
  </si>
  <si>
    <t>1. client.orders.confirmSold('DH001',{qty:10})
2. Kiểm tra POST cap-nhat-don-thuoc</t>
  </si>
  <si>
    <t>- HTTP 200, số bán cập nhật
- Retry 2 lần nếu fail (delay 30s)</t>
  </si>
  <si>
    <t>UC05</t>
  </si>
  <si>
    <t>Retry</t>
  </si>
  <si>
    <t>HTTP 429 → retry theo Retry-After</t>
  </si>
  <si>
    <t>TC-RETRY-01</t>
  </si>
  <si>
    <t>- Mock server trả 429 + Retry-After: 2</t>
  </si>
  <si>
    <t>1. Gọi API, mock 429 lần 1
2. Kiểm tra retry sau 2s</t>
  </si>
  <si>
    <t>- SDK retry sau Retry-After
- Lần 2 thành công</t>
  </si>
  <si>
    <t>HTTP 5xx → exponential backoff</t>
  </si>
  <si>
    <t>TC-RETRY-02</t>
  </si>
  <si>
    <t>- Mock server trả 500 liên tục</t>
  </si>
  <si>
    <t>1. Gọi API, mock 500
2. Kiểm tra retry + backoff</t>
  </si>
  <si>
    <t>- Retry MAX 3 lần, backoff tăng dần
- Hết retry → throw lỗi rõ</t>
  </si>
  <si>
    <t>Trace ID</t>
  </si>
  <si>
    <t>Mỗi request có trace ID trong log</t>
  </si>
  <si>
    <t>TC-TRACE-01</t>
  </si>
  <si>
    <t>- Bật logging</t>
  </si>
  <si>
    <t>1. Gọi bất kỳ API
2. Kiểm tra log</t>
  </si>
  <si>
    <t>- Log chứa trace ID duy nhất/request
- Mask secret (token/password)</t>
  </si>
  <si>
    <t>Tính năng mới</t>
  </si>
  <si>
    <t>Negative</t>
  </si>
  <si>
    <t>Credential sai → lỗi rõ ràng</t>
  </si>
  <si>
    <t>TC-NEG-01</t>
  </si>
  <si>
    <t>- Credential sai</t>
  </si>
  <si>
    <t>1. new DrugPortalClient({csdlDuoc:{username:'wrong'}})
2. Gọi API</t>
  </si>
  <si>
    <t>- Lỗi rõ: auth failed
- Không leak raw credential trong log</t>
  </si>
  <si>
    <t>Security</t>
  </si>
  <si>
    <t>Platform</t>
  </si>
  <si>
    <t>Scope</t>
  </si>
  <si>
    <t>Estimate (MD)</t>
  </si>
  <si>
    <t>Ghi chú</t>
  </si>
  <si>
    <t>Applied AI (tool / vai trò)</t>
  </si>
  <si>
    <t>BA</t>
  </si>
  <si>
    <t>Liệt kê các common usecase của package tích hợp cổng dược</t>
  </si>
  <si>
    <t>QĐ 522 / 228</t>
  </si>
  <si>
    <t>Cursor / Claude Code — draft common usecase list &amp; business-flow skeleton; AI gợi ý các UC chuẩn của package tích hợp cổng (auth/refresh/retry/validate).</t>
  </si>
  <si>
    <t>BE</t>
  </si>
  <si>
    <t>Khởi tạo package npm + TypeScript + engines Node ≥ 18</t>
  </si>
  <si>
    <t>tsup ESM+CJS+d.ts</t>
  </si>
  <si>
    <t>AI generate package.json, tsconfig.json, tsup config, engines — dev chỉ review. Boilerplate TypeScript scaffold 0 công sức tay.</t>
  </si>
  <si>
    <t>HTTP client core + retry/backoff + logging + trace ID</t>
  </si>
  <si>
    <t>fetch/undici + msw</t>
  </si>
  <si>
    <t>AI viết HTTP client core + retry/backoff pattern (Cursor Composer); dev review logic 429/5xx. Pattern phổ biến → AI code tốt.</t>
  </si>
  <si>
    <t>Auth CSDL Dược: OAuth login + token tự refresh (401/TTL)</t>
  </si>
  <si>
    <t>base64, x-www-form-urlencoded, Bao gồm login, expired handling, retry 401.</t>
  </si>
  <si>
    <t>AI viết OAuth login + refresh logic dựa trên code Python san_pharmacy_sync làm context; dev validate edge case base64/x-www-form-urlencoded. Đây là điểm AI giúp MẤT ÍT THỜI GIAN NHẤT vì dev mạnh Python, TS không phải thế mạnh → AI viết TS, dev chỉ cần hiểu + kiểm tra đúng logic.</t>
  </si>
  <si>
    <t>Auth QĐ 228: header tĩnh app-name/app-key + mask log</t>
  </si>
  <si>
    <t>Không refresh</t>
  </si>
  <si>
    <t>AI sinh header builder + mask-log util; dev review. Đơn giản.</t>
  </si>
  <si>
    <t>Tra cứu danh mục thuốc (POS portal + master) + mapper</t>
  </si>
  <si>
    <t>AI port mapper từ Python MasterDataMapper sang TS; AI dịch cấu trúc + unit conversion. Dev check kết quả map đúng.</t>
  </si>
  <si>
    <t>Nhập/xuất kho: payload builder + reason mapper + polling</t>
  </si>
  <si>
    <t>Phức tạp nhất: 
- build payload
- validate
- mapper
- polling
- retry
- expiry
- batch
- reason mapping</t>
  </si>
  <si>
    <t>AI port payload builder + reason mapper từ Python (CsdlDuocPayloadBuilder, StockReasonMapper). PAYLOAD PHỨC TẠP → AI draft, DEV REVIEW KỸ từng trường lot/batch/expiry/manufacturer. Đây là điểm trượt: AI có thể dịch sai 1 trường → bug production.</t>
  </si>
  <si>
    <t>QĐ 228: tra cứu đơn + cập nhật số bán + retry</t>
  </si>
  <si>
    <t>Retry 2 lần delay 30s</t>
  </si>
  <si>
    <t>AI viết wrapper QĐ 228 + retry UC05; port từ NationalRxService Python. Dev check retry delay/ MAX.</t>
  </si>
  <si>
    <t>Mapping đơn thuốc → sale order / invoice</t>
  </si>
  <si>
    <t>Port prescription_lookup
Mapping prescription
Validation
Sale Order creation
Invoice data transform</t>
  </si>
  <si>
    <t>AI port prescription_lookup.py sang TS; AI dịch mapping logic. Dev check.</t>
  </si>
  <si>
    <t>Unit test (mock HTTP): payload/validation/mapper/retry</t>
  </si>
  <si>
    <t>Vitest + msw/nock</t>
  </si>
  <si>
    <t>AI sinh test case skeleton (Vitest + msw mock) từ signature hàm; AI viết mock response. Dev bổ sung assertion.</t>
  </si>
  <si>
    <t>Integration test Sandbox + re-validate edge case port</t>
  </si>
  <si>
    <t>Cần tài khoản Sandbox</t>
  </si>
  <si>
    <t>AI sinh integration test script + curl example; AI giúp parse response Sandbox. Dev chạy thật + verify.</t>
  </si>
  <si>
    <t>Tài liệu README + ví dụ + TypeScript types</t>
  </si>
  <si>
    <t>IDE autocomplete
README
API examples
Type definition
Publish guide
Developer onboarding</t>
  </si>
  <si>
    <t>AI viết README + ví dụ code + JSDoc/TSDoc; AI sinh TypeScript types từ interface. AI rất mạnh documentation.</t>
  </si>
  <si>
    <t>Phát hành npm public + GitHub + CI/CD + semver</t>
  </si>
  <si>
    <t>GitHub Actions
semantic-release
version
tag
publish
CI/CD
GitHub Actions</t>
  </si>
  <si>
    <t>AI sinh GitHub Actions YAML (lint/test/build/publish) + semver config. Boilerplate DevOps.</t>
  </si>
  <si>
    <t>QC</t>
  </si>
  <si>
    <t>Manual test ở môi trường dev dựng</t>
  </si>
  <si>
    <t>Review + hỗ trợ viết test case, test unit</t>
  </si>
  <si>
    <t>AI gợi ý test case unit, review code smell. Hỗ trợ QC.</t>
  </si>
  <si>
    <t>Integration test Sandbox CSDL Dược</t>
  </si>
  <si>
    <t>AI sinh integration test Sandbox script. Dev chạy thật.</t>
  </si>
  <si>
    <t>Test Cổng Đơn Thuốc (QĐ 228): tra cứu + confirm sold</t>
  </si>
  <si>
    <t>AI viết test QĐ 228 từ UC05. Dev verify.</t>
  </si>
  <si>
    <t>Regression + edge case (401/429/5xx/timeout)</t>
  </si>
  <si>
    <t>AI gợi ý edge case (401/429/5xx/timeout) để bổ sung test.</t>
  </si>
  <si>
    <t>Buffer</t>
  </si>
  <si>
    <t>Contingency port Python→TS (edge case phát sinh)</t>
  </si>
  <si>
    <t>Risk reserve:
- Python→TS mismatch
- Sandbox response inconsistency
- Requirement clarification</t>
  </si>
  <si>
    <t>AI debug khi dịch Python→TS sai (edge case): AI giải thích khác biệt Python/TS, gợi ý fix. Buffer cho việc review AI output.</t>
  </si>
  <si>
    <t>TỔNG (fill 30 ngày)</t>
  </si>
  <si>
    <t>AI áp dụng xuyên suốt — giảm effort khi dev không phải chuyên gia TS; các task boilerplate/port/doc AI lo, dev tập trung review logic nghiệp vụ dược.</t>
  </si>
  <si>
    <t>Lưu ý: ước tính 30 MD (01 tháng) cho 01 dev tập trung. Điểm rủi ro tiến độ = UC6 (payload nhập/xuất kho phức tạp). Kiểm kê &amp; báo cáo tồn + NPS đưa ra khỏi scope để dạt dư thời gian.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</si>
</sst>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8"/>
      <color rgb="FF0F4C5C"/>
      <name val="Times New Roman"/>
    </font>
    <font>
      <i/>
      <sz val="11"/>
      <color rgb="FF5F8B95"/>
      <name val="Times New Roman"/>
    </font>
    <font>
      <b/>
      <sz val="12"/>
      <color rgb="FF0F4C5C"/>
      <name val="Times New Roman"/>
    </font>
    <font>
      <b/>
      <sz val="11"/>
      <name val="Times New Roman"/>
    </font>
    <font>
      <b/>
      <sz val="11"/>
      <color rgb="FF0F4C5C"/>
      <name val="Times New Roman"/>
    </font>
    <font>
      <b/>
      <sz val="11"/>
      <color rgb="FFFF0000"/>
      <name val="Times New Roman"/>
    </font>
    <font>
      <b/>
      <sz val="11"/>
      <name val="Calibri"/>
    </font>
    <font>
      <sz val="11"/>
      <name val="Calibri"/>
    </font>
    <font>
      <i/>
      <sz val="11"/>
      <color rgb="FF5F8B95"/>
      <name val="Calibri"/>
    </font>
    <font>
      <i/>
      <sz val="10"/>
      <color rgb="FF666666"/>
      <name val="Calibri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i/>
      <sz val="9"/>
      <color rgb="FF5F8B95"/>
      <name val="Arial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FF0000"/>
      <name val="Times New Roman"/>
    </font>
    <font>
      <b/>
      <sz val="11"/>
      <color rgb="FFFFFFFF"/>
      <name val="Calibri"/>
    </font>
    <font>
      <i/>
      <sz val="10"/>
      <color rgb="FF7030A0"/>
      <name val="Calibri"/>
    </font>
    <font>
      <b/>
      <sz val="10"/>
      <color rgb="FF7030A0"/>
      <name val="Calibri"/>
    </font>
    <font>
      <b/>
      <sz val="11"/>
      <color rgb="FF7030A0"/>
      <name val="Times New Roman"/>
    </font>
    <font>
      <b/>
      <sz val="11"/>
      <color rgb="FFFFFFFF"/>
      <name val="Arial"/>
    </font>
    <font>
      <sz val="10.5"/>
      <name val="Arial"/>
    </font>
    <font>
      <u/>
      <sz val="11"/>
      <color theme="10"/>
      <name val="Calibri"/>
      <family val="2"/>
      <scheme val="minor"/>
    </font>
    <font>
      <sz val="11"/>
      <color theme="1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8F1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7030A0"/>
        <bgColor rgb="FF000000"/>
      </patternFill>
    </fill>
    <fill>
      <patternFill patternType="solid">
        <fgColor rgb="FFEAD9F2"/>
        <bgColor rgb="FF000000"/>
      </patternFill>
    </fill>
    <fill>
      <patternFill patternType="solid">
        <fgColor rgb="FFE8F1F2"/>
        <bgColor rgb="FF000000"/>
      </patternFill>
    </fill>
    <fill>
      <patternFill patternType="solid">
        <fgColor rgb="FF1F4E5F"/>
        <bgColor rgb="FF000000"/>
      </patternFill>
    </fill>
    <fill>
      <patternFill patternType="solid">
        <fgColor rgb="FFF2F7F9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59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0" fillId="6" borderId="1" xfId="0" applyFill="1" applyBorder="1"/>
    <xf numFmtId="0" fontId="7" fillId="6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8" fillId="8" borderId="1" xfId="0" applyFont="1" applyFill="1" applyBorder="1" applyAlignment="1">
      <alignment vertical="top" wrapText="1"/>
    </xf>
    <xf numFmtId="0" fontId="19" fillId="9" borderId="5" xfId="0" applyFont="1" applyFill="1" applyBorder="1" applyAlignment="1">
      <alignment vertical="top" wrapText="1"/>
    </xf>
    <xf numFmtId="0" fontId="20" fillId="9" borderId="5" xfId="0" applyFont="1" applyFill="1" applyBorder="1" applyAlignment="1">
      <alignment vertical="top" wrapText="1"/>
    </xf>
    <xf numFmtId="0" fontId="22" fillId="11" borderId="2" xfId="0" applyFont="1" applyFill="1" applyBorder="1" applyAlignment="1">
      <alignment wrapText="1"/>
    </xf>
    <xf numFmtId="0" fontId="23" fillId="0" borderId="8" xfId="0" applyFont="1" applyBorder="1"/>
    <xf numFmtId="0" fontId="23" fillId="0" borderId="8" xfId="0" applyFont="1" applyBorder="1" applyAlignment="1">
      <alignment wrapText="1"/>
    </xf>
    <xf numFmtId="0" fontId="23" fillId="12" borderId="8" xfId="0" applyFont="1" applyFill="1" applyBorder="1"/>
    <xf numFmtId="0" fontId="23" fillId="12" borderId="8" xfId="0" applyFont="1" applyFill="1" applyBorder="1" applyAlignment="1">
      <alignment wrapText="1"/>
    </xf>
    <xf numFmtId="0" fontId="22" fillId="11" borderId="1" xfId="0" applyFont="1" applyFill="1" applyBorder="1" applyAlignment="1">
      <alignment horizontal="center" wrapText="1"/>
    </xf>
    <xf numFmtId="0" fontId="23" fillId="0" borderId="5" xfId="0" applyFont="1" applyBorder="1" applyAlignment="1">
      <alignment horizontal="center"/>
    </xf>
    <xf numFmtId="0" fontId="23" fillId="1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3" fillId="9" borderId="0" xfId="0" applyFont="1" applyFill="1" applyAlignment="1">
      <alignment vertical="top" wrapText="1"/>
    </xf>
    <xf numFmtId="0" fontId="21" fillId="10" borderId="6" xfId="0" applyFont="1" applyFill="1" applyBorder="1" applyAlignment="1">
      <alignment vertical="top" wrapText="1"/>
    </xf>
    <xf numFmtId="0" fontId="21" fillId="10" borderId="2" xfId="0" applyFont="1" applyFill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center" wrapText="1"/>
    </xf>
    <xf numFmtId="0" fontId="24" fillId="0" borderId="9" xfId="1" applyBorder="1" applyAlignment="1">
      <alignment horizontal="center" vertical="center"/>
    </xf>
    <xf numFmtId="0" fontId="25" fillId="13" borderId="6" xfId="0" applyFont="1" applyFill="1" applyBorder="1" applyAlignment="1">
      <alignment vertical="top" wrapText="1"/>
    </xf>
    <xf numFmtId="0" fontId="25" fillId="13" borderId="2" xfId="0" applyFont="1" applyFill="1" applyBorder="1" applyAlignment="1">
      <alignment vertical="top" wrapText="1"/>
    </xf>
    <xf numFmtId="0" fontId="25" fillId="13" borderId="6" xfId="0" applyFont="1" applyFill="1" applyBorder="1" applyAlignment="1">
      <alignment horizontal="left" vertical="top" wrapText="1"/>
    </xf>
    <xf numFmtId="0" fontId="25" fillId="13" borderId="3" xfId="0" applyFont="1" applyFill="1" applyBorder="1" applyAlignment="1">
      <alignment horizontal="left" vertical="top" wrapText="1"/>
    </xf>
    <xf numFmtId="0" fontId="25" fillId="13" borderId="2" xfId="0" applyFont="1" applyFill="1" applyBorder="1" applyAlignment="1">
      <alignment horizontal="left" vertical="top" wrapText="1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0" fillId="0" borderId="5" xfId="0" applyBorder="1" applyAlignment="1"/>
    <xf numFmtId="0" fontId="0" fillId="0" borderId="4" xfId="0" applyBorder="1" applyAlignment="1"/>
    <xf numFmtId="0" fontId="10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uong Phi" id="{D9E32327-F9D7-48CD-A570-2856D52E966E}" userId="duong.phi@zen8labs.com" providerId="PeoplePicker"/>
  <person displayName="Dung Nguyen" id="{CB7BF32D-7D6D-4C4B-8973-12DDB97B5B0B}" userId="dung.nguyen2@zen8labs.com" providerId="PeoplePicker"/>
  <person displayName="Duong Phi" id="{54C947A7-1A67-4B92-AE2E-7D5E22A752C5}" userId="S::duong.phi@zen8labs.com::d9a266c6-ec33-43bb-84a5-4122bebb0812" providerId="AD"/>
  <person displayName="Hanh Nguyen" id="{036E826D-267A-44C2-A0B6-7F35048AB4E5}" userId="S::hanh.nguyen@zen8labs.com::c8d67496-6bba-4382-b537-ed99f03a42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6-07-08T05:32:54.97" personId="{036E826D-267A-44C2-A0B6-7F35048AB4E5}" id="{1213C831-5B97-4969-8405-EC5E9BE9B442}">
    <text>làm gì còn iCare ở đây nữa, chỗ này có 02 actor là nhà thuốc và thầy thuốc chứ @Duong Phi</text>
    <mentions>
      <mention mentionpersonId="{D9E32327-F9D7-48CD-A570-2856D52E966E}" mentionId="{77AD8F5F-35CD-40D4-B151-DE071AE9849D}" startIndex="79" length="10"/>
    </mentions>
  </threadedComment>
  <threadedComment ref="C7" dT="2026-07-08T10:34:20.25" personId="{036E826D-267A-44C2-A0B6-7F35048AB4E5}" id="{932F8B81-8FC8-45F3-920F-54EBB1F9ACA6}">
    <text>vẽ lại business flow diagram vào đây rồi insert link drawio vào đây nhé @Dung Nguyen</text>
    <mentions>
      <mention mentionpersonId="{CB7BF32D-7D6D-4C4B-8973-12DDB97B5B0B}" mentionId="{DA11ACC8-D22D-453D-9DB9-F81196396D45}" startIndex="72" length="12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6-07-08T05:45:02.90" personId="{036E826D-267A-44C2-A0B6-7F35048AB4E5}" id="{F75E2D11-051F-459E-A14D-3B521487D26A}">
    <text>BA ở đây cụ thể là làm cái gì? vì scope shorten lại như của iCare thôi. sao phải research lại là không lesson learnt được @Duong Phi</text>
    <mentions>
      <mention mentionpersonId="{D9E32327-F9D7-48CD-A570-2856D52E966E}" mentionId="{7D788125-BEBE-4505-8DB9-8B38CEADECA8}" startIndex="122" length="10"/>
    </mentions>
  </threadedComment>
  <threadedComment ref="B3" dT="2026-07-08T05:56:06.68" personId="{54C947A7-1A67-4B92-AE2E-7D5E22A752C5}" id="{1714B1EB-4236-4F9A-B690-6DC941987AC1}" parentId="{F75E2D11-051F-459E-A14D-3B521487D26A}">
    <text>phần này mình ko cần BA lên doc lại nếu làm general ạ, vì doc đang theo của iCare ạ</text>
  </threadedComment>
  <threadedComment ref="B15" dT="2026-07-08T05:46:10.92" personId="{036E826D-267A-44C2-A0B6-7F35048AB4E5}" id="{737E6E36-788E-4004-BFD9-425BFE5D0AD0}">
    <text xml:space="preserve">tất cả các phần list ở cột C nó là techspec nhưng nó xử lý cho business usecases nào thì @Duong Phi mapping lại với sơ đồ tổng quản business flow </text>
    <mentions>
      <mention mentionpersonId="{D9E32327-F9D7-48CD-A570-2856D52E966E}" mentionId="{32E85B0A-6820-43CE-890F-AEAAE2880FC3}" startIndex="89" length="10"/>
    </mentions>
  </threadedComment>
  <threadedComment ref="A16" dT="2026-07-08T05:48:19.58" personId="{036E826D-267A-44C2-A0B6-7F35048AB4E5}" id="{2C8E470D-E6B4-4ABC-A72E-BD0C17794E9B}">
    <text>chỗ này là dev test hay QC test? hay chia layer QC chạy lại test cho luồng E2E thôi? @Duong Phi</text>
    <mentions>
      <mention mentionpersonId="{D9E32327-F9D7-48CD-A570-2856D52E966E}" mentionId="{363F37DB-DD13-4868-B9B7-E4631031685D}" startIndex="85" length="10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rive.google.com/file/d/1evEy7PHZVnBKKeUbx6Q7e-NssdPsTwUw/view?usp=sharing" TargetMode="Externa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showGridLines="0" tabSelected="1" workbookViewId="0">
      <selection activeCell="F5" sqref="F5"/>
    </sheetView>
  </sheetViews>
  <sheetFormatPr defaultRowHeight="15"/>
  <cols>
    <col min="1" max="1" width="7.5703125" customWidth="1"/>
    <col min="2" max="2" width="14.85546875" customWidth="1"/>
    <col min="3" max="3" width="44.5703125" customWidth="1"/>
    <col min="4" max="4" width="48" customWidth="1"/>
  </cols>
  <sheetData>
    <row r="1" spans="1:4" ht="30" customHeight="1">
      <c r="A1" s="53" t="s">
        <v>0</v>
      </c>
      <c r="B1" s="54"/>
      <c r="C1" s="54"/>
      <c r="D1" s="54"/>
    </row>
    <row r="2" spans="1:4">
      <c r="A2" s="55" t="s">
        <v>1</v>
      </c>
      <c r="B2" s="54"/>
      <c r="C2" s="54"/>
      <c r="D2" s="54"/>
    </row>
    <row r="4" spans="1:4" ht="21.95" customHeight="1">
      <c r="A4" s="40" t="s">
        <v>2</v>
      </c>
      <c r="B4" s="54"/>
      <c r="C4" s="54"/>
      <c r="D4" s="54"/>
    </row>
    <row r="5" spans="1:4" ht="66" customHeight="1">
      <c r="A5" s="41" t="s">
        <v>3</v>
      </c>
      <c r="B5" s="54"/>
      <c r="C5" s="54"/>
      <c r="D5" s="54"/>
    </row>
    <row r="6" spans="1:4" ht="21.95" customHeight="1">
      <c r="A6" s="40" t="s">
        <v>4</v>
      </c>
      <c r="B6" s="54"/>
      <c r="C6" s="54"/>
      <c r="D6" s="54"/>
    </row>
    <row r="7" spans="1:4" ht="27.75" customHeight="1">
      <c r="A7" s="46" t="s">
        <v>5</v>
      </c>
      <c r="B7" s="46"/>
      <c r="C7" s="47" t="s">
        <v>6</v>
      </c>
      <c r="D7" s="47"/>
    </row>
    <row r="8" spans="1:4">
      <c r="A8" s="32" t="s">
        <v>7</v>
      </c>
      <c r="B8" s="33"/>
      <c r="C8" s="48" t="s">
        <v>8</v>
      </c>
      <c r="D8" s="49"/>
    </row>
    <row r="9" spans="1:4">
      <c r="A9" s="32" t="s">
        <v>9</v>
      </c>
      <c r="B9" s="33"/>
      <c r="C9" s="48" t="s">
        <v>10</v>
      </c>
      <c r="D9" s="49"/>
    </row>
    <row r="10" spans="1:4" ht="15" customHeight="1">
      <c r="A10" s="32" t="s">
        <v>11</v>
      </c>
      <c r="B10" s="33"/>
      <c r="C10" s="48" t="s">
        <v>12</v>
      </c>
      <c r="D10" s="49"/>
    </row>
    <row r="11" spans="1:4">
      <c r="A11" s="32" t="s">
        <v>13</v>
      </c>
      <c r="B11" s="33"/>
      <c r="C11" s="48" t="s">
        <v>14</v>
      </c>
      <c r="D11" s="49"/>
    </row>
    <row r="12" spans="1:4">
      <c r="A12" s="32" t="s">
        <v>15</v>
      </c>
      <c r="B12" s="33"/>
      <c r="C12" s="48" t="s">
        <v>16</v>
      </c>
      <c r="D12" s="49"/>
    </row>
    <row r="13" spans="1:4">
      <c r="A13" s="32" t="s">
        <v>17</v>
      </c>
      <c r="B13" s="33"/>
      <c r="C13" s="48" t="s">
        <v>18</v>
      </c>
      <c r="D13" s="49"/>
    </row>
    <row r="14" spans="1:4">
      <c r="A14" s="32" t="s">
        <v>19</v>
      </c>
      <c r="B14" s="33"/>
      <c r="C14" s="48" t="s">
        <v>20</v>
      </c>
      <c r="D14" s="49"/>
    </row>
    <row r="15" spans="1:4" ht="21.95" customHeight="1">
      <c r="A15" s="39" t="s">
        <v>21</v>
      </c>
      <c r="B15" s="54"/>
      <c r="C15" s="54"/>
      <c r="D15" s="54"/>
    </row>
    <row r="16" spans="1:4" ht="20.100000000000001" customHeight="1">
      <c r="A16" s="36" t="s">
        <v>22</v>
      </c>
      <c r="B16" s="37"/>
      <c r="C16" s="48" t="s">
        <v>23</v>
      </c>
      <c r="D16" s="49"/>
    </row>
    <row r="17" spans="1:4" ht="20.100000000000001" customHeight="1">
      <c r="A17" s="36" t="s">
        <v>24</v>
      </c>
      <c r="B17" s="37"/>
      <c r="C17" s="48" t="s">
        <v>25</v>
      </c>
      <c r="D17" s="49"/>
    </row>
    <row r="18" spans="1:4" ht="20.100000000000001" customHeight="1">
      <c r="A18" s="36" t="s">
        <v>26</v>
      </c>
      <c r="B18" s="37"/>
      <c r="C18" s="48" t="s">
        <v>27</v>
      </c>
      <c r="D18" s="49"/>
    </row>
    <row r="19" spans="1:4" ht="20.100000000000001" customHeight="1">
      <c r="A19" s="36" t="s">
        <v>28</v>
      </c>
      <c r="B19" s="37"/>
      <c r="C19" s="48" t="s">
        <v>29</v>
      </c>
      <c r="D19" s="49"/>
    </row>
    <row r="20" spans="1:4" ht="20.100000000000001" customHeight="1">
      <c r="A20" s="36" t="s">
        <v>30</v>
      </c>
      <c r="B20" s="37"/>
      <c r="C20" s="48" t="s">
        <v>31</v>
      </c>
      <c r="D20" s="49"/>
    </row>
    <row r="21" spans="1:4" ht="20.100000000000001" customHeight="1">
      <c r="A21" s="36" t="s">
        <v>32</v>
      </c>
      <c r="B21" s="37"/>
      <c r="C21" s="48" t="s">
        <v>33</v>
      </c>
      <c r="D21" s="49"/>
    </row>
    <row r="22" spans="1:4" ht="20.100000000000001" customHeight="1">
      <c r="A22" s="36" t="s">
        <v>34</v>
      </c>
      <c r="B22" s="37"/>
      <c r="C22" s="48" t="s">
        <v>35</v>
      </c>
      <c r="D22" s="49"/>
    </row>
    <row r="23" spans="1:4" ht="20.100000000000001" customHeight="1">
      <c r="A23" s="36" t="s">
        <v>36</v>
      </c>
      <c r="B23" s="37"/>
      <c r="C23" s="48" t="s">
        <v>37</v>
      </c>
      <c r="D23" s="49"/>
    </row>
    <row r="24" spans="1:4" ht="20.100000000000001" customHeight="1">
      <c r="A24" s="36" t="s">
        <v>38</v>
      </c>
      <c r="B24" s="37"/>
      <c r="C24" s="48" t="s">
        <v>39</v>
      </c>
      <c r="D24" s="49"/>
    </row>
    <row r="25" spans="1:4" ht="20.100000000000001" customHeight="1">
      <c r="A25" s="36" t="s">
        <v>40</v>
      </c>
      <c r="B25" s="37"/>
      <c r="C25" s="48" t="s">
        <v>41</v>
      </c>
      <c r="D25" s="49"/>
    </row>
    <row r="26" spans="1:4" ht="20.100000000000001" customHeight="1">
      <c r="A26" s="36" t="s">
        <v>42</v>
      </c>
      <c r="B26" s="37"/>
      <c r="C26" s="48" t="s">
        <v>43</v>
      </c>
      <c r="D26" s="49"/>
    </row>
    <row r="28" spans="1:4" ht="21.95" customHeight="1">
      <c r="A28" s="38" t="s">
        <v>44</v>
      </c>
      <c r="B28" s="54"/>
      <c r="C28" s="54"/>
      <c r="D28" s="54"/>
    </row>
    <row r="29" spans="1:4" ht="37.5" customHeight="1">
      <c r="A29" s="34" t="s">
        <v>45</v>
      </c>
      <c r="B29" s="35"/>
      <c r="C29" s="48" t="s">
        <v>46</v>
      </c>
      <c r="D29" s="49"/>
    </row>
    <row r="30" spans="1:4" ht="27" customHeight="1">
      <c r="A30" s="34" t="s">
        <v>47</v>
      </c>
      <c r="B30" s="35"/>
      <c r="C30" s="48" t="s">
        <v>48</v>
      </c>
      <c r="D30" s="49"/>
    </row>
    <row r="31" spans="1:4" ht="36.75" customHeight="1">
      <c r="A31" s="34" t="s">
        <v>49</v>
      </c>
      <c r="B31" s="35"/>
      <c r="C31" s="48" t="s">
        <v>50</v>
      </c>
      <c r="D31" s="49"/>
    </row>
    <row r="32" spans="1:4" ht="37.5" customHeight="1">
      <c r="A32" s="34" t="s">
        <v>51</v>
      </c>
      <c r="B32" s="35"/>
      <c r="C32" s="48" t="s">
        <v>52</v>
      </c>
      <c r="D32" s="49"/>
    </row>
    <row r="33" spans="1:4" ht="25.5" customHeight="1">
      <c r="A33" s="34" t="s">
        <v>53</v>
      </c>
      <c r="B33" s="35"/>
      <c r="C33" s="48" t="s">
        <v>54</v>
      </c>
      <c r="D33" s="49"/>
    </row>
    <row r="34" spans="1:4" ht="33" customHeight="1">
      <c r="A34" s="34" t="s">
        <v>55</v>
      </c>
      <c r="B34" s="35"/>
      <c r="C34" s="48" t="s">
        <v>56</v>
      </c>
      <c r="D34" s="49"/>
    </row>
    <row r="36" spans="1:4" ht="21.95" customHeight="1">
      <c r="A36" s="40" t="s">
        <v>57</v>
      </c>
      <c r="B36" s="54"/>
      <c r="C36" s="54"/>
      <c r="D36" s="54"/>
    </row>
    <row r="37" spans="1:4" ht="60" customHeight="1">
      <c r="A37" s="50" t="s">
        <v>58</v>
      </c>
      <c r="B37" s="51"/>
      <c r="C37" s="51"/>
      <c r="D37" s="52"/>
    </row>
    <row r="38" spans="1:4" s="27" customFormat="1" ht="15.75" customHeight="1">
      <c r="A38" s="42" t="s">
        <v>59</v>
      </c>
      <c r="B38" s="42"/>
      <c r="C38" s="42"/>
      <c r="D38" s="42"/>
    </row>
    <row r="39" spans="1:4" s="27" customFormat="1" ht="60.75" customHeight="1">
      <c r="A39" s="50" t="s">
        <v>60</v>
      </c>
      <c r="B39" s="51"/>
      <c r="C39" s="51"/>
      <c r="D39" s="52"/>
    </row>
    <row r="40" spans="1:4" s="27" customFormat="1" ht="39" customHeight="1">
      <c r="A40" s="43" t="s">
        <v>61</v>
      </c>
      <c r="B40" s="44"/>
      <c r="C40" s="48" t="s">
        <v>62</v>
      </c>
      <c r="D40" s="49"/>
    </row>
    <row r="41" spans="1:4" s="27" customFormat="1" ht="50.25" customHeight="1">
      <c r="A41" s="43" t="s">
        <v>63</v>
      </c>
      <c r="B41" s="44"/>
      <c r="C41" s="48" t="s">
        <v>64</v>
      </c>
      <c r="D41" s="49"/>
    </row>
    <row r="42" spans="1:4" s="27" customFormat="1" ht="39" customHeight="1">
      <c r="A42" s="43" t="s">
        <v>65</v>
      </c>
      <c r="B42" s="44"/>
      <c r="C42" s="48" t="s">
        <v>66</v>
      </c>
      <c r="D42" s="49"/>
    </row>
    <row r="43" spans="1:4" s="27" customFormat="1" ht="15" customHeight="1">
      <c r="A43" s="43" t="s">
        <v>67</v>
      </c>
      <c r="B43" s="44"/>
      <c r="C43" s="48" t="s">
        <v>68</v>
      </c>
      <c r="D43" s="49"/>
    </row>
    <row r="44" spans="1:4" s="27" customFormat="1" ht="15" customHeight="1">
      <c r="A44" s="43" t="s">
        <v>69</v>
      </c>
      <c r="B44" s="44"/>
      <c r="C44" s="48" t="s">
        <v>70</v>
      </c>
      <c r="D44" s="49"/>
    </row>
    <row r="45" spans="1:4" s="27" customFormat="1" ht="15" customHeight="1">
      <c r="A45" s="43" t="s">
        <v>71</v>
      </c>
      <c r="B45" s="44"/>
      <c r="C45" s="48" t="s">
        <v>72</v>
      </c>
      <c r="D45" s="49"/>
    </row>
    <row r="46" spans="1:4" s="27" customFormat="1" ht="39" customHeight="1">
      <c r="A46" s="43" t="s">
        <v>73</v>
      </c>
      <c r="B46" s="44"/>
      <c r="C46" s="48" t="s">
        <v>74</v>
      </c>
      <c r="D46" s="49"/>
    </row>
  </sheetData>
  <mergeCells count="75">
    <mergeCell ref="A14:B14"/>
    <mergeCell ref="C9:D9"/>
    <mergeCell ref="C12:D12"/>
    <mergeCell ref="C11:D11"/>
    <mergeCell ref="C10:D10"/>
    <mergeCell ref="A9:B9"/>
    <mergeCell ref="C14:D14"/>
    <mergeCell ref="A45:B45"/>
    <mergeCell ref="C45:D45"/>
    <mergeCell ref="A46:B46"/>
    <mergeCell ref="C46:D46"/>
    <mergeCell ref="A42:B42"/>
    <mergeCell ref="C42:D42"/>
    <mergeCell ref="A43:B43"/>
    <mergeCell ref="C43:D43"/>
    <mergeCell ref="A44:B44"/>
    <mergeCell ref="C44:D44"/>
    <mergeCell ref="A38:D38"/>
    <mergeCell ref="A39:D39"/>
    <mergeCell ref="A40:B40"/>
    <mergeCell ref="C40:D40"/>
    <mergeCell ref="A41:B41"/>
    <mergeCell ref="C41:D41"/>
    <mergeCell ref="A37:D37"/>
    <mergeCell ref="C22:D22"/>
    <mergeCell ref="A5:D5"/>
    <mergeCell ref="A18:B18"/>
    <mergeCell ref="A36:D36"/>
    <mergeCell ref="A21:B21"/>
    <mergeCell ref="A6:D6"/>
    <mergeCell ref="C34:D34"/>
    <mergeCell ref="C19:D19"/>
    <mergeCell ref="A26:B26"/>
    <mergeCell ref="A24:B24"/>
    <mergeCell ref="C18:D18"/>
    <mergeCell ref="A33:B33"/>
    <mergeCell ref="A23:B23"/>
    <mergeCell ref="A32:B32"/>
    <mergeCell ref="A17:B17"/>
    <mergeCell ref="A15:D15"/>
    <mergeCell ref="A1:D1"/>
    <mergeCell ref="C25:D25"/>
    <mergeCell ref="C16:D16"/>
    <mergeCell ref="A20:B20"/>
    <mergeCell ref="C21:D21"/>
    <mergeCell ref="A22:B22"/>
    <mergeCell ref="A16:B16"/>
    <mergeCell ref="A25:B25"/>
    <mergeCell ref="C17:D17"/>
    <mergeCell ref="A2:D2"/>
    <mergeCell ref="C23:D23"/>
    <mergeCell ref="A4:D4"/>
    <mergeCell ref="C24:D24"/>
    <mergeCell ref="C20:D20"/>
    <mergeCell ref="A34:B34"/>
    <mergeCell ref="A19:B19"/>
    <mergeCell ref="A28:D28"/>
    <mergeCell ref="C26:D26"/>
    <mergeCell ref="C31:D31"/>
    <mergeCell ref="A29:B29"/>
    <mergeCell ref="A31:B31"/>
    <mergeCell ref="A30:B30"/>
    <mergeCell ref="C32:D32"/>
    <mergeCell ref="C30:D30"/>
    <mergeCell ref="C33:D33"/>
    <mergeCell ref="C29:D29"/>
    <mergeCell ref="A7:B7"/>
    <mergeCell ref="C8:D8"/>
    <mergeCell ref="C7:D7"/>
    <mergeCell ref="C13:D13"/>
    <mergeCell ref="A8:B8"/>
    <mergeCell ref="A10:B10"/>
    <mergeCell ref="A11:B11"/>
    <mergeCell ref="A12:B12"/>
    <mergeCell ref="A13:B13"/>
  </mergeCells>
  <hyperlinks>
    <hyperlink ref="C7:D7" r:id="rId1" display="https://drive.google.com/file/d/1evEy7PHZVnBKKeUbx6Q7e-NssdPsTwUw/view?usp=sharing" xr:uid="{DDFF1649-A000-4E70-9DE2-229AA626E74F}"/>
  </hyperlinks>
  <pageMargins left="0.75" right="0.75" top="1" bottom="1" header="0.5" footer="0.5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D1E7-79FF-491E-A7C3-561B41D60953}">
  <dimension ref="A1:G8"/>
  <sheetViews>
    <sheetView workbookViewId="0">
      <selection activeCell="F17" sqref="F17"/>
    </sheetView>
  </sheetViews>
  <sheetFormatPr defaultRowHeight="15"/>
  <cols>
    <col min="1" max="1" width="7.5703125" style="26" customWidth="1"/>
    <col min="2" max="2" width="12.85546875" customWidth="1"/>
    <col min="3" max="3" width="41.7109375" customWidth="1"/>
    <col min="4" max="4" width="20.85546875" customWidth="1"/>
    <col min="5" max="5" width="21" customWidth="1"/>
    <col min="6" max="6" width="58.5703125" customWidth="1"/>
    <col min="7" max="7" width="28.28515625" customWidth="1"/>
  </cols>
  <sheetData>
    <row r="1" spans="1:7">
      <c r="A1" s="23" t="s">
        <v>75</v>
      </c>
      <c r="B1" s="18" t="s">
        <v>76</v>
      </c>
      <c r="C1" s="18" t="s">
        <v>77</v>
      </c>
      <c r="D1" s="18" t="s">
        <v>78</v>
      </c>
      <c r="E1" s="18" t="s">
        <v>79</v>
      </c>
      <c r="F1" s="18" t="s">
        <v>80</v>
      </c>
    </row>
    <row r="2" spans="1:7" ht="33" customHeight="1">
      <c r="A2" s="24">
        <v>1</v>
      </c>
      <c r="B2" s="19" t="s">
        <v>81</v>
      </c>
      <c r="C2" s="20" t="s">
        <v>82</v>
      </c>
      <c r="D2" s="19" t="s">
        <v>53</v>
      </c>
      <c r="E2" s="20" t="s">
        <v>83</v>
      </c>
      <c r="F2" s="20" t="s">
        <v>84</v>
      </c>
    </row>
    <row r="3" spans="1:7" ht="27">
      <c r="A3" s="25">
        <v>2</v>
      </c>
      <c r="B3" s="21" t="s">
        <v>85</v>
      </c>
      <c r="C3" s="22" t="s">
        <v>10</v>
      </c>
      <c r="D3" s="21" t="s">
        <v>86</v>
      </c>
      <c r="E3" s="22" t="s">
        <v>87</v>
      </c>
      <c r="F3" s="22" t="s">
        <v>88</v>
      </c>
      <c r="G3" t="s">
        <v>89</v>
      </c>
    </row>
    <row r="4" spans="1:7" ht="27">
      <c r="A4" s="24">
        <v>3</v>
      </c>
      <c r="B4" s="19" t="s">
        <v>90</v>
      </c>
      <c r="C4" s="22" t="s">
        <v>91</v>
      </c>
      <c r="D4" s="21" t="s">
        <v>92</v>
      </c>
      <c r="E4" s="22" t="s">
        <v>83</v>
      </c>
      <c r="F4" s="22" t="s">
        <v>93</v>
      </c>
    </row>
    <row r="5" spans="1:7">
      <c r="A5" s="25">
        <v>4</v>
      </c>
      <c r="B5" s="21" t="s">
        <v>94</v>
      </c>
      <c r="C5" s="20" t="s">
        <v>95</v>
      </c>
      <c r="D5" s="19" t="s">
        <v>92</v>
      </c>
      <c r="E5" s="20" t="s">
        <v>83</v>
      </c>
      <c r="F5" s="20" t="s">
        <v>96</v>
      </c>
    </row>
    <row r="6" spans="1:7" ht="27">
      <c r="A6" s="24">
        <v>5</v>
      </c>
      <c r="B6" s="19" t="s">
        <v>97</v>
      </c>
      <c r="C6" s="22" t="s">
        <v>98</v>
      </c>
      <c r="D6" s="21" t="s">
        <v>99</v>
      </c>
      <c r="E6" s="22" t="s">
        <v>100</v>
      </c>
      <c r="F6" s="22" t="s">
        <v>101</v>
      </c>
    </row>
    <row r="7" spans="1:7" ht="27">
      <c r="A7" s="25">
        <v>6</v>
      </c>
      <c r="B7" s="21" t="s">
        <v>102</v>
      </c>
      <c r="C7" s="20" t="s">
        <v>103</v>
      </c>
      <c r="D7" s="21" t="s">
        <v>99</v>
      </c>
      <c r="E7" s="20" t="s">
        <v>100</v>
      </c>
      <c r="F7" s="20" t="s">
        <v>104</v>
      </c>
    </row>
    <row r="8" spans="1:7" ht="27">
      <c r="A8" s="24">
        <v>7</v>
      </c>
      <c r="B8" s="19" t="s">
        <v>105</v>
      </c>
      <c r="C8" s="22" t="s">
        <v>106</v>
      </c>
      <c r="D8" s="21" t="s">
        <v>99</v>
      </c>
      <c r="E8" s="22" t="s">
        <v>100</v>
      </c>
      <c r="F8" s="22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14"/>
  <sheetViews>
    <sheetView showGridLines="0" topLeftCell="E10" workbookViewId="0">
      <selection activeCell="I14" sqref="I14"/>
    </sheetView>
  </sheetViews>
  <sheetFormatPr defaultRowHeight="15"/>
  <cols>
    <col min="1" max="1" width="26" customWidth="1"/>
    <col min="2" max="2" width="34" customWidth="1"/>
    <col min="3" max="3" width="16" customWidth="1"/>
    <col min="4" max="4" width="34" customWidth="1"/>
    <col min="5" max="5" width="50" customWidth="1"/>
    <col min="6" max="6" width="40" customWidth="1"/>
    <col min="7" max="8" width="12" customWidth="1"/>
    <col min="9" max="9" width="24" customWidth="1"/>
    <col min="10" max="10" width="4" customWidth="1"/>
    <col min="11" max="12" width="30" customWidth="1"/>
  </cols>
  <sheetData>
    <row r="2" spans="1:9" ht="30" customHeight="1">
      <c r="A2" s="9" t="s">
        <v>108</v>
      </c>
      <c r="B2" s="9" t="s">
        <v>109</v>
      </c>
      <c r="C2" s="9" t="s">
        <v>110</v>
      </c>
      <c r="D2" s="9" t="s">
        <v>111</v>
      </c>
      <c r="E2" s="9" t="s">
        <v>112</v>
      </c>
      <c r="F2" s="9" t="s">
        <v>113</v>
      </c>
      <c r="G2" s="9" t="s">
        <v>114</v>
      </c>
      <c r="H2" s="9" t="s">
        <v>115</v>
      </c>
      <c r="I2" s="9" t="s">
        <v>116</v>
      </c>
    </row>
    <row r="3" spans="1:9" ht="54.95" customHeight="1">
      <c r="A3" s="45" t="s">
        <v>117</v>
      </c>
      <c r="B3" s="11" t="s">
        <v>118</v>
      </c>
      <c r="C3" s="12" t="s">
        <v>119</v>
      </c>
      <c r="D3" s="11" t="s">
        <v>120</v>
      </c>
      <c r="E3" s="11" t="s">
        <v>121</v>
      </c>
      <c r="F3" s="11" t="s">
        <v>122</v>
      </c>
      <c r="G3" s="13" t="s">
        <v>123</v>
      </c>
      <c r="H3" s="13" t="s">
        <v>123</v>
      </c>
      <c r="I3" s="14" t="s">
        <v>124</v>
      </c>
    </row>
    <row r="4" spans="1:9" ht="54.95" customHeight="1">
      <c r="A4" s="56"/>
      <c r="B4" s="11" t="s">
        <v>125</v>
      </c>
      <c r="C4" s="12" t="s">
        <v>126</v>
      </c>
      <c r="D4" s="11" t="s">
        <v>127</v>
      </c>
      <c r="E4" s="11" t="s">
        <v>128</v>
      </c>
      <c r="F4" s="11" t="s">
        <v>129</v>
      </c>
      <c r="G4" s="13" t="s">
        <v>123</v>
      </c>
      <c r="H4" s="13" t="s">
        <v>123</v>
      </c>
      <c r="I4" s="14" t="s">
        <v>130</v>
      </c>
    </row>
    <row r="5" spans="1:9" ht="54.95" customHeight="1">
      <c r="A5" s="10" t="s">
        <v>131</v>
      </c>
      <c r="B5" s="11" t="s">
        <v>132</v>
      </c>
      <c r="C5" s="12" t="s">
        <v>133</v>
      </c>
      <c r="D5" s="11" t="s">
        <v>134</v>
      </c>
      <c r="E5" s="11" t="s">
        <v>135</v>
      </c>
      <c r="F5" s="11" t="s">
        <v>136</v>
      </c>
      <c r="G5" s="13" t="s">
        <v>123</v>
      </c>
      <c r="H5" s="13" t="s">
        <v>123</v>
      </c>
      <c r="I5" s="14" t="s">
        <v>137</v>
      </c>
    </row>
    <row r="6" spans="1:9" ht="54.95" customHeight="1">
      <c r="A6" s="10" t="s">
        <v>138</v>
      </c>
      <c r="B6" s="11" t="s">
        <v>139</v>
      </c>
      <c r="C6" s="12" t="s">
        <v>140</v>
      </c>
      <c r="D6" s="11" t="s">
        <v>141</v>
      </c>
      <c r="E6" s="11" t="s">
        <v>142</v>
      </c>
      <c r="F6" s="11" t="s">
        <v>143</v>
      </c>
      <c r="G6" s="13" t="s">
        <v>123</v>
      </c>
      <c r="H6" s="13" t="s">
        <v>123</v>
      </c>
      <c r="I6" s="14" t="s">
        <v>144</v>
      </c>
    </row>
    <row r="7" spans="1:9" ht="54.95" customHeight="1">
      <c r="A7" s="10" t="s">
        <v>145</v>
      </c>
      <c r="B7" s="11" t="s">
        <v>146</v>
      </c>
      <c r="C7" s="12" t="s">
        <v>147</v>
      </c>
      <c r="D7" s="11" t="s">
        <v>148</v>
      </c>
      <c r="E7" s="11" t="s">
        <v>149</v>
      </c>
      <c r="F7" s="11" t="s">
        <v>150</v>
      </c>
      <c r="G7" s="13" t="s">
        <v>123</v>
      </c>
      <c r="H7" s="13" t="s">
        <v>123</v>
      </c>
      <c r="I7" s="14" t="s">
        <v>151</v>
      </c>
    </row>
    <row r="8" spans="1:9" ht="54.95" customHeight="1">
      <c r="A8" s="10" t="s">
        <v>152</v>
      </c>
      <c r="B8" s="11" t="s">
        <v>153</v>
      </c>
      <c r="C8" s="12" t="s">
        <v>154</v>
      </c>
      <c r="D8" s="11" t="s">
        <v>155</v>
      </c>
      <c r="E8" s="11" t="s">
        <v>156</v>
      </c>
      <c r="F8" s="11" t="s">
        <v>157</v>
      </c>
      <c r="G8" s="13" t="s">
        <v>123</v>
      </c>
      <c r="H8" s="13" t="s">
        <v>123</v>
      </c>
      <c r="I8" s="14" t="s">
        <v>144</v>
      </c>
    </row>
    <row r="9" spans="1:9" ht="54.95" customHeight="1">
      <c r="A9" s="10" t="s">
        <v>158</v>
      </c>
      <c r="B9" s="11" t="s">
        <v>159</v>
      </c>
      <c r="C9" s="12" t="s">
        <v>160</v>
      </c>
      <c r="D9" s="11" t="s">
        <v>161</v>
      </c>
      <c r="E9" s="11" t="s">
        <v>162</v>
      </c>
      <c r="F9" s="11" t="s">
        <v>163</v>
      </c>
      <c r="G9" s="13" t="s">
        <v>123</v>
      </c>
      <c r="H9" s="13" t="s">
        <v>123</v>
      </c>
      <c r="I9" s="14" t="s">
        <v>164</v>
      </c>
    </row>
    <row r="10" spans="1:9" ht="54.95" customHeight="1">
      <c r="A10" s="10" t="s">
        <v>165</v>
      </c>
      <c r="B10" s="11" t="s">
        <v>166</v>
      </c>
      <c r="C10" s="12" t="s">
        <v>167</v>
      </c>
      <c r="D10" s="11" t="s">
        <v>168</v>
      </c>
      <c r="E10" s="11" t="s">
        <v>169</v>
      </c>
      <c r="F10" s="11" t="s">
        <v>170</v>
      </c>
      <c r="G10" s="13" t="s">
        <v>123</v>
      </c>
      <c r="H10" s="13" t="s">
        <v>123</v>
      </c>
      <c r="I10" s="14" t="s">
        <v>171</v>
      </c>
    </row>
    <row r="11" spans="1:9" ht="54.95" customHeight="1">
      <c r="A11" s="45" t="s">
        <v>172</v>
      </c>
      <c r="B11" s="11" t="s">
        <v>173</v>
      </c>
      <c r="C11" s="12" t="s">
        <v>174</v>
      </c>
      <c r="D11" s="11" t="s">
        <v>175</v>
      </c>
      <c r="E11" s="11" t="s">
        <v>176</v>
      </c>
      <c r="F11" s="11" t="s">
        <v>177</v>
      </c>
      <c r="G11" s="13" t="s">
        <v>123</v>
      </c>
      <c r="H11" s="13" t="s">
        <v>123</v>
      </c>
      <c r="I11" s="14" t="s">
        <v>53</v>
      </c>
    </row>
    <row r="12" spans="1:9" ht="54.95" customHeight="1">
      <c r="A12" s="56"/>
      <c r="B12" s="11" t="s">
        <v>178</v>
      </c>
      <c r="C12" s="12" t="s">
        <v>179</v>
      </c>
      <c r="D12" s="11" t="s">
        <v>180</v>
      </c>
      <c r="E12" s="11" t="s">
        <v>181</v>
      </c>
      <c r="F12" s="11" t="s">
        <v>182</v>
      </c>
      <c r="G12" s="13" t="s">
        <v>123</v>
      </c>
      <c r="H12" s="13" t="s">
        <v>123</v>
      </c>
      <c r="I12" s="14" t="s">
        <v>53</v>
      </c>
    </row>
    <row r="13" spans="1:9" ht="54.95" customHeight="1">
      <c r="A13" s="10" t="s">
        <v>183</v>
      </c>
      <c r="B13" s="11" t="s">
        <v>184</v>
      </c>
      <c r="C13" s="12" t="s">
        <v>185</v>
      </c>
      <c r="D13" s="11" t="s">
        <v>186</v>
      </c>
      <c r="E13" s="11" t="s">
        <v>187</v>
      </c>
      <c r="F13" s="11" t="s">
        <v>188</v>
      </c>
      <c r="G13" s="13" t="s">
        <v>123</v>
      </c>
      <c r="H13" s="13" t="s">
        <v>123</v>
      </c>
      <c r="I13" s="14" t="s">
        <v>189</v>
      </c>
    </row>
    <row r="14" spans="1:9" ht="54.95" customHeight="1">
      <c r="A14" s="10" t="s">
        <v>190</v>
      </c>
      <c r="B14" s="11" t="s">
        <v>191</v>
      </c>
      <c r="C14" s="12" t="s">
        <v>192</v>
      </c>
      <c r="D14" s="11" t="s">
        <v>193</v>
      </c>
      <c r="E14" s="11" t="s">
        <v>194</v>
      </c>
      <c r="F14" s="11" t="s">
        <v>195</v>
      </c>
      <c r="G14" s="13" t="s">
        <v>123</v>
      </c>
      <c r="H14" s="13" t="s">
        <v>123</v>
      </c>
      <c r="I14" s="14" t="s">
        <v>196</v>
      </c>
    </row>
  </sheetData>
  <mergeCells count="2">
    <mergeCell ref="A3:A4"/>
    <mergeCell ref="A11:A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24"/>
  <sheetViews>
    <sheetView showGridLines="0" topLeftCell="A15" workbookViewId="0">
      <selection activeCell="B3" sqref="B3"/>
    </sheetView>
  </sheetViews>
  <sheetFormatPr defaultRowHeight="15"/>
  <cols>
    <col min="1" max="1" width="12" customWidth="1"/>
    <col min="2" max="2" width="62" customWidth="1"/>
    <col min="3" max="3" width="12" customWidth="1"/>
    <col min="4" max="4" width="28" customWidth="1"/>
    <col min="5" max="5" width="52" customWidth="1"/>
  </cols>
  <sheetData>
    <row r="2" spans="1:5" ht="30.75">
      <c r="A2" s="1" t="s">
        <v>197</v>
      </c>
      <c r="B2" s="1" t="s">
        <v>198</v>
      </c>
      <c r="C2" s="1" t="s">
        <v>199</v>
      </c>
      <c r="D2" s="1" t="s">
        <v>200</v>
      </c>
      <c r="E2" s="15" t="s">
        <v>201</v>
      </c>
    </row>
    <row r="3" spans="1:5" ht="40.5">
      <c r="A3" s="2" t="s">
        <v>202</v>
      </c>
      <c r="B3" s="3" t="s">
        <v>203</v>
      </c>
      <c r="C3" s="4">
        <v>0.5</v>
      </c>
      <c r="D3" s="5" t="s">
        <v>204</v>
      </c>
      <c r="E3" s="16" t="s">
        <v>205</v>
      </c>
    </row>
    <row r="4" spans="1:5" ht="53.25">
      <c r="A4" s="28" t="s">
        <v>206</v>
      </c>
      <c r="B4" s="3" t="s">
        <v>207</v>
      </c>
      <c r="C4" s="4">
        <v>0.5</v>
      </c>
      <c r="D4" s="5" t="s">
        <v>208</v>
      </c>
      <c r="E4" s="16" t="s">
        <v>209</v>
      </c>
    </row>
    <row r="5" spans="1:5" ht="53.25">
      <c r="A5" s="57"/>
      <c r="B5" s="3" t="s">
        <v>210</v>
      </c>
      <c r="C5" s="4">
        <v>2</v>
      </c>
      <c r="D5" s="5" t="s">
        <v>211</v>
      </c>
      <c r="E5" s="16" t="s">
        <v>212</v>
      </c>
    </row>
    <row r="6" spans="1:5" ht="67.5">
      <c r="A6" s="57"/>
      <c r="B6" s="3" t="s">
        <v>213</v>
      </c>
      <c r="C6" s="4">
        <v>2.5</v>
      </c>
      <c r="D6" s="5" t="s">
        <v>214</v>
      </c>
      <c r="E6" s="16" t="s">
        <v>215</v>
      </c>
    </row>
    <row r="7" spans="1:5" ht="27">
      <c r="A7" s="57"/>
      <c r="B7" s="3" t="s">
        <v>216</v>
      </c>
      <c r="C7" s="4">
        <v>0.5</v>
      </c>
      <c r="D7" s="5" t="s">
        <v>217</v>
      </c>
      <c r="E7" s="16" t="s">
        <v>218</v>
      </c>
    </row>
    <row r="8" spans="1:5" ht="53.25">
      <c r="A8" s="57"/>
      <c r="B8" s="3" t="s">
        <v>219</v>
      </c>
      <c r="C8" s="4">
        <v>1.5</v>
      </c>
      <c r="D8" s="5" t="s">
        <v>144</v>
      </c>
      <c r="E8" s="16" t="s">
        <v>220</v>
      </c>
    </row>
    <row r="9" spans="1:5" ht="137.25">
      <c r="A9" s="57"/>
      <c r="B9" s="3" t="s">
        <v>221</v>
      </c>
      <c r="C9" s="4">
        <v>4</v>
      </c>
      <c r="D9" s="5" t="s">
        <v>222</v>
      </c>
      <c r="E9" s="16" t="s">
        <v>223</v>
      </c>
    </row>
    <row r="10" spans="1:5" ht="40.5">
      <c r="A10" s="57"/>
      <c r="B10" s="3" t="s">
        <v>224</v>
      </c>
      <c r="C10" s="4">
        <v>2</v>
      </c>
      <c r="D10" s="5" t="s">
        <v>225</v>
      </c>
      <c r="E10" s="16" t="s">
        <v>226</v>
      </c>
    </row>
    <row r="11" spans="1:5" ht="76.5">
      <c r="A11" s="57"/>
      <c r="B11" s="3" t="s">
        <v>227</v>
      </c>
      <c r="C11" s="4">
        <v>1.5</v>
      </c>
      <c r="D11" s="5" t="s">
        <v>228</v>
      </c>
      <c r="E11" s="16" t="s">
        <v>229</v>
      </c>
    </row>
    <row r="12" spans="1:5" ht="15" customHeight="1">
      <c r="A12" s="57"/>
      <c r="B12" s="3" t="s">
        <v>230</v>
      </c>
      <c r="C12" s="4">
        <v>2</v>
      </c>
      <c r="D12" s="5" t="s">
        <v>231</v>
      </c>
      <c r="E12" s="16" t="s">
        <v>232</v>
      </c>
    </row>
    <row r="13" spans="1:5" ht="40.5">
      <c r="A13" s="57"/>
      <c r="B13" s="3" t="s">
        <v>233</v>
      </c>
      <c r="C13" s="4">
        <v>3</v>
      </c>
      <c r="D13" s="5" t="s">
        <v>234</v>
      </c>
      <c r="E13" s="16" t="s">
        <v>235</v>
      </c>
    </row>
    <row r="14" spans="1:5" ht="91.5">
      <c r="A14" s="57"/>
      <c r="B14" s="3" t="s">
        <v>236</v>
      </c>
      <c r="C14" s="4">
        <v>1.5</v>
      </c>
      <c r="D14" s="5" t="s">
        <v>237</v>
      </c>
      <c r="E14" s="16" t="s">
        <v>238</v>
      </c>
    </row>
    <row r="15" spans="1:5" ht="106.5">
      <c r="A15" s="56"/>
      <c r="B15" s="3" t="s">
        <v>239</v>
      </c>
      <c r="C15" s="4">
        <v>1</v>
      </c>
      <c r="D15" s="5" t="s">
        <v>240</v>
      </c>
      <c r="E15" s="16" t="s">
        <v>241</v>
      </c>
    </row>
    <row r="16" spans="1:5">
      <c r="A16" s="29" t="s">
        <v>242</v>
      </c>
      <c r="B16" s="3" t="s">
        <v>243</v>
      </c>
      <c r="C16" s="4">
        <v>2</v>
      </c>
      <c r="D16" s="5"/>
      <c r="E16" s="16"/>
    </row>
    <row r="17" spans="1:5">
      <c r="A17" s="30"/>
      <c r="B17" s="3" t="s">
        <v>244</v>
      </c>
      <c r="C17" s="4">
        <v>1</v>
      </c>
      <c r="D17" s="5"/>
      <c r="E17" s="16" t="s">
        <v>245</v>
      </c>
    </row>
    <row r="18" spans="1:5" ht="27" customHeight="1">
      <c r="A18" s="30"/>
      <c r="B18" s="3" t="s">
        <v>246</v>
      </c>
      <c r="C18" s="4">
        <v>1.5</v>
      </c>
      <c r="D18" s="5"/>
      <c r="E18" s="16" t="s">
        <v>247</v>
      </c>
    </row>
    <row r="19" spans="1:5">
      <c r="A19" s="30"/>
      <c r="B19" s="3" t="s">
        <v>248</v>
      </c>
      <c r="C19" s="4">
        <v>1</v>
      </c>
      <c r="D19" s="5"/>
      <c r="E19" s="16" t="s">
        <v>249</v>
      </c>
    </row>
    <row r="20" spans="1:5" ht="27" customHeight="1">
      <c r="A20" s="31"/>
      <c r="B20" s="3" t="s">
        <v>250</v>
      </c>
      <c r="C20" s="4">
        <v>0.5</v>
      </c>
      <c r="D20" s="5"/>
      <c r="E20" s="16" t="s">
        <v>251</v>
      </c>
    </row>
    <row r="21" spans="1:5" ht="91.5">
      <c r="A21" s="2" t="s">
        <v>252</v>
      </c>
      <c r="B21" s="3" t="s">
        <v>253</v>
      </c>
      <c r="C21" s="4">
        <v>1.5</v>
      </c>
      <c r="D21" s="5" t="s">
        <v>254</v>
      </c>
      <c r="E21" s="16" t="s">
        <v>255</v>
      </c>
    </row>
    <row r="22" spans="1:5" ht="40.5">
      <c r="A22" s="6"/>
      <c r="B22" s="7" t="s">
        <v>256</v>
      </c>
      <c r="C22" s="8">
        <f>SUM(C3:C21)</f>
        <v>30</v>
      </c>
      <c r="D22" s="6"/>
      <c r="E22" s="17" t="s">
        <v>257</v>
      </c>
    </row>
    <row r="24" spans="1:5">
      <c r="A24" s="58" t="s">
        <v>258</v>
      </c>
      <c r="B24" s="54"/>
      <c r="C24" s="54"/>
      <c r="D24" s="54"/>
    </row>
  </sheetData>
  <mergeCells count="3">
    <mergeCell ref="A24:D24"/>
    <mergeCell ref="A4:A15"/>
    <mergeCell ref="A16:A20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Hanh Nguyen</cp:lastModifiedBy>
  <cp:revision/>
  <dcterms:created xsi:type="dcterms:W3CDTF">2026-07-08T05:00:53Z</dcterms:created>
  <dcterms:modified xsi:type="dcterms:W3CDTF">2026-07-08T13:09:19Z</dcterms:modified>
  <cp:category/>
  <cp:contentStatus/>
</cp:coreProperties>
</file>